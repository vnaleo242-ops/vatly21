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6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<sst xmlns="http://schemas.openxmlformats.org/spreadsheetml/2006/main" count="28" uniqueCount="28">
  <si>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Hà</t>
  </si>
  <si>
    <t xml:space="preserve">Đồng </t>
  </si>
  <si>
    <t>Toán</t>
  </si>
  <si>
    <t xml:space="preserve">Tú </t>
  </si>
  <si>
    <t>Hoàng</t>
  </si>
  <si>
    <t>Đi luông pha băng</t>
  </si>
  <si>
    <t>Đi luông pha băng + quà</t>
  </si>
  <si>
    <t>Đi luông pha băng đầm phán anh Kon phết (viêng chăn)</t>
  </si>
  <si>
    <t>Đóng tiền hút cát</t>
  </si>
  <si>
    <t>cho kon phết</t>
  </si>
  <si>
    <t>chi phí kon phết</t>
  </si>
  <si>
    <t>Đóng tiền mua vật tư hút cát</t>
  </si>
  <si>
    <t>tha von vay</t>
  </si>
  <si>
    <t>chi phí hạ tàu</t>
  </si>
  <si>
    <t>Lương tàu cái</t>
  </si>
  <si>
    <t>Phạt chuộc người</t>
  </si>
  <si>
    <t>chi phí</t>
  </si>
  <si>
    <t>vé tàu</t>
  </si>
  <si>
    <t>ngày 18/04</t>
  </si>
  <si>
    <t>phạt thavong</t>
  </si>
  <si>
    <t>khuông pet</t>
  </si>
  <si>
    <t>nộp cho Đường</t>
  </si>
  <si>
    <t>tổng</t>
  </si>
  <si>
    <t>số tiền mỗi người phải nộp</t>
  </si>
  <si>
    <t>tiền nhận về</t>
  </si>
  <si>
    <t>tiền tâm chuyển (nhận của Đường )</t>
  </si>
  <si>
    <t xml:space="preserve">Chuyển cho thiệp </t>
  </si>
  <si>
    <t>số tiền còn lại phải nạp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</si>
</sst>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2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14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5" borderId="12" applyNumberFormat="0" applyAlignment="0" applyProtection="0">
      <alignment vertical="center"/>
    </xf>
    <xf numFmtId="0" fontId="12" fillId="16" borderId="13" applyNumberFormat="0" applyAlignment="0" applyProtection="0">
      <alignment vertical="center"/>
    </xf>
    <xf numFmtId="0" fontId="13" fillId="16" borderId="12" applyNumberFormat="0" applyAlignment="0" applyProtection="0">
      <alignment vertical="center"/>
    </xf>
    <xf numFmtId="0" fontId="14" fillId="17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</cellStyleXfs>
  <cellXfs count="121">
    <xf numFmtId="0" fontId="0" fillId="0" borderId="0" xfId="0"/>
    <xf numFmtId="0" fontId="0" fillId="2" borderId="0" xfId="0" applyFill="1"/>
    <xf numFmtId="3" fontId="0" fillId="2" borderId="0" xfId="0" applyNumberFormat="1" applyFill="1"/>
    <xf numFmtId="0" fontId="0" fillId="2" borderId="1" xfId="0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3" fontId="0" fillId="3" borderId="1" xfId="0" applyNumberFormat="1" applyFill="1" applyBorder="1"/>
    <xf numFmtId="0" fontId="0" fillId="4" borderId="1" xfId="0" applyFill="1" applyBorder="1"/>
    <xf numFmtId="0" fontId="0" fillId="5" borderId="1" xfId="0" applyFill="1" applyBorder="1"/>
    <xf numFmtId="3" fontId="0" fillId="6" borderId="1" xfId="0" applyNumberFormat="1" applyFill="1" applyBorder="1"/>
    <xf numFmtId="3" fontId="0" fillId="7" borderId="1" xfId="0" applyNumberFormat="1" applyFill="1" applyBorder="1"/>
    <xf numFmtId="3" fontId="0" fillId="4" borderId="1" xfId="0" applyNumberFormat="1" applyFill="1" applyBorder="1"/>
    <xf numFmtId="0" fontId="0" fillId="6" borderId="1" xfId="0" applyFill="1" applyBorder="1"/>
    <xf numFmtId="0" fontId="0" fillId="7" borderId="1" xfId="0" applyFill="1" applyBorder="1"/>
    <xf numFmtId="3" fontId="0" fillId="5" borderId="1" xfId="0" applyNumberFormat="1" applyFill="1" applyBorder="1"/>
    <xf numFmtId="0" fontId="1" fillId="2" borderId="1" xfId="0" applyFont="1" applyFill="1" applyBorder="1"/>
    <xf numFmtId="0" fontId="1" fillId="2" borderId="2" xfId="0" applyFont="1" applyFill="1" applyBorder="1"/>
    <xf numFmtId="3" fontId="1" fillId="3" borderId="2" xfId="0" applyNumberFormat="1" applyFont="1" applyFill="1" applyBorder="1"/>
    <xf numFmtId="0" fontId="1" fillId="4" borderId="2" xfId="0" applyFont="1" applyFill="1" applyBorder="1"/>
    <xf numFmtId="0" fontId="1" fillId="5" borderId="2" xfId="0" applyFont="1" applyFill="1" applyBorder="1"/>
    <xf numFmtId="0" fontId="1" fillId="6" borderId="2" xfId="0" applyFont="1" applyFill="1" applyBorder="1"/>
    <xf numFmtId="3" fontId="1" fillId="7" borderId="2" xfId="0" applyNumberFormat="1" applyFont="1" applyFill="1" applyBorder="1"/>
    <xf numFmtId="0" fontId="1" fillId="2" borderId="3" xfId="0" applyFont="1" applyFill="1" applyBorder="1"/>
    <xf numFmtId="3" fontId="1" fillId="3" borderId="4" xfId="0" applyNumberFormat="1" applyFont="1" applyFill="1" applyBorder="1"/>
    <xf numFmtId="0" fontId="1" fillId="4" borderId="4" xfId="0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7" borderId="5" xfId="0" applyFont="1" applyFill="1" applyBorder="1"/>
    <xf numFmtId="0" fontId="1" fillId="2" borderId="6" xfId="0" applyFont="1" applyFill="1" applyBorder="1"/>
    <xf numFmtId="3" fontId="1" fillId="3" borderId="6" xfId="0" applyNumberFormat="1" applyFont="1" applyFill="1" applyBorder="1"/>
    <xf numFmtId="0" fontId="1" fillId="4" borderId="6" xfId="0" applyFont="1" applyFill="1" applyBorder="1"/>
    <xf numFmtId="0" fontId="1" fillId="5" borderId="6" xfId="0" applyFont="1" applyFill="1" applyBorder="1"/>
    <xf numFmtId="0" fontId="1" fillId="6" borderId="6" xfId="0" applyFont="1" applyFill="1" applyBorder="1"/>
    <xf numFmtId="0" fontId="1" fillId="7" borderId="6" xfId="0" applyFont="1" applyFill="1" applyBorder="1"/>
    <xf numFmtId="3" fontId="1" fillId="4" borderId="6" xfId="0" applyNumberFormat="1" applyFont="1" applyFill="1" applyBorder="1"/>
    <xf numFmtId="3" fontId="1" fillId="6" borderId="6" xfId="0" applyNumberFormat="1" applyFont="1" applyFill="1" applyBorder="1"/>
    <xf numFmtId="0" fontId="1" fillId="2" borderId="3" xfId="0" applyFont="1" applyFill="1" applyBorder="1" applyAlignment="1">
      <alignment horizontal="center" vertical="center"/>
    </xf>
    <xf numFmtId="3" fontId="1" fillId="4" borderId="4" xfId="0" applyNumberFormat="1" applyFont="1" applyFill="1" applyBorder="1"/>
    <xf numFmtId="3" fontId="1" fillId="7" borderId="5" xfId="0" applyNumberFormat="1" applyFont="1" applyFill="1" applyBorder="1"/>
    <xf numFmtId="0" fontId="1" fillId="2" borderId="6" xfId="0" applyFont="1" applyFill="1" applyBorder="1" applyAlignment="1">
      <alignment horizontal="center" vertical="center"/>
    </xf>
    <xf numFmtId="3" fontId="1" fillId="3" borderId="7" xfId="0" applyNumberFormat="1" applyFont="1" applyFill="1" applyBorder="1"/>
    <xf numFmtId="3" fontId="1" fillId="4" borderId="7" xfId="0" applyNumberFormat="1" applyFont="1" applyFill="1" applyBorder="1"/>
    <xf numFmtId="0" fontId="1" fillId="5" borderId="7" xfId="0" applyFont="1" applyFill="1" applyBorder="1"/>
    <xf numFmtId="0" fontId="1" fillId="6" borderId="7" xfId="0" applyFont="1" applyFill="1" applyBorder="1"/>
    <xf numFmtId="3" fontId="1" fillId="7" borderId="7" xfId="0" applyNumberFormat="1" applyFont="1" applyFill="1" applyBorder="1"/>
    <xf numFmtId="0" fontId="1" fillId="2" borderId="6" xfId="0" applyFont="1" applyFill="1" applyBorder="1" applyAlignment="1">
      <alignment horizontal="center" vertical="center"/>
    </xf>
    <xf numFmtId="0" fontId="1" fillId="3" borderId="1" xfId="0" applyFont="1" applyFill="1" applyBorder="1"/>
    <xf numFmtId="3" fontId="1" fillId="4" borderId="1" xfId="0" applyNumberFormat="1" applyFont="1" applyFill="1" applyBorder="1"/>
    <xf numFmtId="3" fontId="1" fillId="5" borderId="1" xfId="0" applyNumberFormat="1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4" borderId="1" xfId="0" applyFont="1" applyFill="1" applyBorder="1"/>
    <xf numFmtId="0" fontId="1" fillId="2" borderId="6" xfId="0" applyFont="1" applyFill="1" applyBorder="1" applyAlignment="1">
      <alignment horizontal="center" vertical="center"/>
    </xf>
    <xf numFmtId="0" fontId="1" fillId="3" borderId="2" xfId="0" applyFont="1" applyFill="1" applyBorder="1"/>
    <xf numFmtId="3" fontId="1" fillId="5" borderId="2" xfId="0" applyNumberFormat="1" applyFont="1" applyFill="1" applyBorder="1"/>
    <xf numFmtId="0" fontId="1" fillId="7" borderId="2" xfId="0" applyFont="1" applyFill="1" applyBorder="1"/>
    <xf numFmtId="0" fontId="0" fillId="2" borderId="0" xfId="0" applyFill="1" applyBorder="1"/>
    <xf numFmtId="0" fontId="1" fillId="2" borderId="3" xfId="0" applyFont="1" applyFill="1" applyBorder="1" applyAlignment="1">
      <alignment horizontal="center" vertical="center"/>
    </xf>
    <xf numFmtId="0" fontId="1" fillId="3" borderId="4" xfId="0" applyFont="1" applyFill="1" applyBorder="1"/>
    <xf numFmtId="3" fontId="1" fillId="5" borderId="4" xfId="0" applyNumberFormat="1" applyFont="1" applyFill="1" applyBorder="1"/>
    <xf numFmtId="0" fontId="1" fillId="2" borderId="7" xfId="0" applyFont="1" applyFill="1" applyBorder="1" applyAlignment="1">
      <alignment vertical="center"/>
    </xf>
    <xf numFmtId="0" fontId="1" fillId="3" borderId="7" xfId="0" applyFont="1" applyFill="1" applyBorder="1"/>
    <xf numFmtId="0" fontId="1" fillId="4" borderId="7" xfId="0" applyFont="1" applyFill="1" applyBorder="1"/>
    <xf numFmtId="3" fontId="1" fillId="5" borderId="7" xfId="0" applyNumberFormat="1" applyFont="1" applyFill="1" applyBorder="1"/>
    <xf numFmtId="0" fontId="1" fillId="7" borderId="7" xfId="0" applyFont="1" applyFill="1" applyBorder="1"/>
    <xf numFmtId="0" fontId="1" fillId="2" borderId="1" xfId="0" applyFont="1" applyFill="1" applyBorder="1" applyAlignment="1">
      <alignment vertical="center"/>
    </xf>
    <xf numFmtId="0" fontId="1" fillId="5" borderId="1" xfId="0" applyFont="1" applyFill="1" applyBorder="1"/>
    <xf numFmtId="0" fontId="1" fillId="2" borderId="1" xfId="0" applyFont="1" applyFill="1" applyBorder="1" applyAlignment="1">
      <alignment vertical="center"/>
    </xf>
    <xf numFmtId="3" fontId="1" fillId="3" borderId="1" xfId="0" applyNumberFormat="1" applyFont="1" applyFill="1" applyBorder="1"/>
    <xf numFmtId="3" fontId="1" fillId="6" borderId="1" xfId="0" applyNumberFormat="1" applyFont="1" applyFill="1" applyBorder="1"/>
    <xf numFmtId="3" fontId="1" fillId="7" borderId="1" xfId="0" applyNumberFormat="1" applyFont="1" applyFill="1" applyBorder="1"/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3" borderId="4" xfId="0" applyFont="1" applyFill="1" applyBorder="1"/>
    <xf numFmtId="0" fontId="1" fillId="4" borderId="4" xfId="0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7" borderId="5" xfId="0" applyFont="1" applyFill="1" applyBorder="1"/>
    <xf numFmtId="0" fontId="0" fillId="2" borderId="7" xfId="0" applyFill="1" applyBorder="1"/>
    <xf numFmtId="3" fontId="0" fillId="3" borderId="7" xfId="0" applyNumberFormat="1" applyFill="1" applyBorder="1"/>
    <xf numFmtId="3" fontId="0" fillId="4" borderId="7" xfId="0" applyNumberFormat="1" applyFill="1" applyBorder="1"/>
    <xf numFmtId="3" fontId="0" fillId="5" borderId="7" xfId="0" applyNumberFormat="1" applyFill="1" applyBorder="1"/>
    <xf numFmtId="3" fontId="0" fillId="6" borderId="7" xfId="0" applyNumberFormat="1" applyFill="1" applyBorder="1"/>
    <xf numFmtId="3" fontId="0" fillId="7" borderId="7" xfId="0" applyNumberFormat="1" applyFill="1" applyBorder="1"/>
    <xf numFmtId="3" fontId="0" fillId="2" borderId="8" xfId="0" applyNumberFormat="1" applyFill="1" applyBorder="1"/>
    <xf numFmtId="0" fontId="0" fillId="2" borderId="2" xfId="0" applyFill="1" applyBorder="1"/>
    <xf numFmtId="3" fontId="0" fillId="3" borderId="2" xfId="0" applyNumberFormat="1" applyFill="1" applyBorder="1"/>
    <xf numFmtId="3" fontId="0" fillId="4" borderId="2" xfId="0" applyNumberFormat="1" applyFill="1" applyBorder="1"/>
    <xf numFmtId="3" fontId="0" fillId="5" borderId="2" xfId="0" applyNumberFormat="1" applyFill="1" applyBorder="1"/>
    <xf numFmtId="3" fontId="0" fillId="6" borderId="2" xfId="0" applyNumberFormat="1" applyFill="1" applyBorder="1"/>
    <xf numFmtId="3" fontId="0" fillId="7" borderId="2" xfId="0" applyNumberFormat="1" applyFill="1" applyBorder="1"/>
    <xf numFmtId="3" fontId="0" fillId="2" borderId="1" xfId="0" applyNumberFormat="1" applyFill="1" applyBorder="1"/>
    <xf numFmtId="0" fontId="0" fillId="2" borderId="3" xfId="0" applyFill="1" applyBorder="1"/>
    <xf numFmtId="0" fontId="0" fillId="3" borderId="4" xfId="0" applyFill="1" applyBorder="1"/>
    <xf numFmtId="0" fontId="0" fillId="4" borderId="4" xfId="0" applyFill="1" applyBorder="1"/>
    <xf numFmtId="0" fontId="0" fillId="5" borderId="4" xfId="0" applyFill="1" applyBorder="1"/>
    <xf numFmtId="0" fontId="0" fillId="6" borderId="4" xfId="0" applyFill="1" applyBorder="1"/>
    <xf numFmtId="0" fontId="0" fillId="7" borderId="5" xfId="0" applyFill="1" applyBorder="1"/>
    <xf numFmtId="0" fontId="0" fillId="0" borderId="7" xfId="0" applyBorder="1"/>
    <xf numFmtId="0" fontId="0" fillId="8" borderId="7" xfId="0" applyFill="1" applyBorder="1"/>
    <xf numFmtId="3" fontId="0" fillId="9" borderId="7" xfId="0" applyNumberFormat="1" applyFill="1" applyBorder="1"/>
    <xf numFmtId="0" fontId="0" fillId="10" borderId="7" xfId="0" applyFill="1" applyBorder="1"/>
    <xf numFmtId="3" fontId="0" fillId="11" borderId="7" xfId="0" applyNumberFormat="1" applyFill="1" applyBorder="1"/>
    <xf numFmtId="0" fontId="0" fillId="12" borderId="7" xfId="0" applyFill="1" applyBorder="1"/>
    <xf numFmtId="0" fontId="0" fillId="0" borderId="2" xfId="0" applyBorder="1"/>
    <xf numFmtId="0" fontId="0" fillId="8" borderId="2" xfId="0" applyFill="1" applyBorder="1"/>
    <xf numFmtId="3" fontId="0" fillId="9" borderId="2" xfId="0" applyNumberFormat="1" applyFill="1" applyBorder="1"/>
    <xf numFmtId="0" fontId="0" fillId="10" borderId="2" xfId="0" applyFill="1" applyBorder="1"/>
    <xf numFmtId="0" fontId="0" fillId="11" borderId="2" xfId="0" applyFill="1" applyBorder="1"/>
    <xf numFmtId="0" fontId="0" fillId="12" borderId="2" xfId="0" applyFill="1" applyBorder="1"/>
    <xf numFmtId="0" fontId="0" fillId="0" borderId="3" xfId="0" applyBorder="1"/>
    <xf numFmtId="0" fontId="0" fillId="8" borderId="4" xfId="0" applyFill="1" applyBorder="1"/>
    <xf numFmtId="0" fontId="0" fillId="9" borderId="4" xfId="0" applyFill="1" applyBorder="1"/>
    <xf numFmtId="0" fontId="0" fillId="10" borderId="4" xfId="0" applyFill="1" applyBorder="1"/>
    <xf numFmtId="0" fontId="0" fillId="11" borderId="4" xfId="0" applyFill="1" applyBorder="1"/>
    <xf numFmtId="0" fontId="0" fillId="12" borderId="5" xfId="0" applyFill="1" applyBorder="1"/>
    <xf numFmtId="0" fontId="0" fillId="13" borderId="7" xfId="0" applyFill="1" applyBorder="1"/>
    <xf numFmtId="3" fontId="0" fillId="13" borderId="7" xfId="0" applyNumberForma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P36"/>
  <sheetViews>
    <sheetView tabSelected="1" workbookViewId="0">
      <selection activeCell="G14" sqref="G14"/>
    </sheetView>
  </sheetViews>
  <sheetFormatPr defaultColWidth="9" defaultRowHeight="15"/>
  <cols>
    <col min="4" max="4" width="13.5714285714286" customWidth="1"/>
    <col min="5" max="6" width="10.8571428571429"/>
    <col min="10" max="10" width="49.4285714285714" customWidth="1"/>
    <col min="11" max="11" width="11.5714285714286" customWidth="1"/>
    <col min="12" max="12" width="11.8571428571429" customWidth="1"/>
    <col min="13" max="13" width="12.5714285714286" customWidth="1"/>
    <col min="14" max="14" width="12.1428571428571" customWidth="1"/>
    <col min="15" max="15" width="13.4285714285714" customWidth="1"/>
    <col min="16" max="16" width="18.7142857142857" customWidth="1"/>
  </cols>
  <sheetData>
    <row r="1" s="1" customFormat="1" spans="10:15">
      <c r="J1" s="3"/>
      <c r="K1" s="4" t="s">
        <v>0</v>
      </c>
      <c r="L1" s="5" t="s">
        <v>1</v>
      </c>
      <c r="M1" s="6" t="s">
        <v>2</v>
      </c>
      <c r="N1" s="7" t="s">
        <v>3</v>
      </c>
      <c r="O1" s="8" t="s">
        <v>4</v>
      </c>
    </row>
    <row r="2" s="1" customFormat="1" spans="10:15">
      <c r="J2" s="3" t="s">
        <v>5</v>
      </c>
      <c r="K2" s="9">
        <v>5300000</v>
      </c>
      <c r="L2" s="10"/>
      <c r="M2" s="11"/>
      <c r="N2" s="12">
        <v>5700000</v>
      </c>
      <c r="O2" s="13">
        <v>6000000</v>
      </c>
    </row>
    <row r="3" s="1" customFormat="1" spans="10:15">
      <c r="J3" s="3" t="s">
        <v>6</v>
      </c>
      <c r="K3" s="9">
        <v>19000000</v>
      </c>
      <c r="L3" s="14">
        <v>2000000</v>
      </c>
      <c r="M3" s="11"/>
      <c r="N3" s="15"/>
      <c r="O3" s="16"/>
    </row>
    <row r="4" s="1" customFormat="1" spans="10:15">
      <c r="J4" s="3" t="s">
        <v>7</v>
      </c>
      <c r="K4" s="9">
        <v>14500000</v>
      </c>
      <c r="L4" s="10"/>
      <c r="M4" s="11"/>
      <c r="N4" s="15"/>
      <c r="O4" s="16"/>
    </row>
    <row r="5" s="1" customFormat="1" spans="10:15">
      <c r="J5" s="3" t="s">
        <v>8</v>
      </c>
      <c r="K5" s="9">
        <v>3800000</v>
      </c>
      <c r="L5" s="14">
        <v>16200000</v>
      </c>
      <c r="M5" s="17">
        <v>20000000</v>
      </c>
      <c r="N5" s="12">
        <v>35000000</v>
      </c>
      <c r="O5" s="16"/>
    </row>
    <row r="6" s="1" customFormat="1" spans="10:15">
      <c r="J6" s="3" t="s">
        <v>9</v>
      </c>
      <c r="K6" s="9">
        <v>6000000</v>
      </c>
      <c r="L6" s="10"/>
      <c r="M6" s="11"/>
      <c r="N6" s="15"/>
      <c r="O6" s="16"/>
    </row>
    <row r="7" s="1" customFormat="1" spans="4:15">
      <c r="D7" s="2"/>
      <c r="F7" s="2"/>
      <c r="J7" s="3" t="s">
        <v>10</v>
      </c>
      <c r="K7" s="9">
        <v>2400000</v>
      </c>
      <c r="L7" s="10"/>
      <c r="M7" s="11"/>
      <c r="N7" s="15"/>
      <c r="O7" s="16"/>
    </row>
    <row r="8" s="1" customFormat="1" spans="5:15">
      <c r="E8" s="2"/>
      <c r="J8" s="3" t="s">
        <v>11</v>
      </c>
      <c r="K8" s="9">
        <v>34200000</v>
      </c>
      <c r="L8" s="14">
        <v>15800000</v>
      </c>
      <c r="M8" s="11"/>
      <c r="N8" s="15"/>
      <c r="O8" s="13">
        <v>20000000</v>
      </c>
    </row>
    <row r="9" s="1" customFormat="1" spans="6:15">
      <c r="F9" s="2"/>
      <c r="J9" s="18" t="s">
        <v>12</v>
      </c>
      <c r="K9" s="9">
        <v>143000000</v>
      </c>
      <c r="L9" s="14">
        <v>117000000</v>
      </c>
      <c r="M9" s="11"/>
      <c r="N9" s="15"/>
      <c r="O9" s="16"/>
    </row>
    <row r="10" s="1" customFormat="1" ht="15.75" spans="5:15">
      <c r="E10" s="2"/>
      <c r="J10" s="19" t="s">
        <v>13</v>
      </c>
      <c r="K10" s="20">
        <v>5000000</v>
      </c>
      <c r="L10" s="21"/>
      <c r="M10" s="22"/>
      <c r="N10" s="23"/>
      <c r="O10" s="24">
        <v>8000000</v>
      </c>
    </row>
    <row r="11" s="1" customFormat="1" ht="15.75" spans="5:15">
      <c r="E11" s="2"/>
      <c r="J11" s="25"/>
      <c r="K11" s="26"/>
      <c r="L11" s="27"/>
      <c r="M11" s="28"/>
      <c r="N11" s="29"/>
      <c r="O11" s="30"/>
    </row>
    <row r="12" s="1" customFormat="1" ht="15.75" spans="5:15">
      <c r="E12" s="2"/>
      <c r="J12" s="31" t="s">
        <v>14</v>
      </c>
      <c r="K12" s="32">
        <v>15000000</v>
      </c>
      <c r="L12" s="33"/>
      <c r="M12" s="34"/>
      <c r="N12" s="35"/>
      <c r="O12" s="36"/>
    </row>
    <row r="13" s="1" customFormat="1" ht="15.75" spans="5:15">
      <c r="E13" s="2"/>
      <c r="J13" s="25"/>
      <c r="K13" s="26"/>
      <c r="L13" s="27"/>
      <c r="M13" s="28"/>
      <c r="N13" s="29"/>
      <c r="O13" s="30"/>
    </row>
    <row r="14" s="1" customFormat="1" ht="15.75" spans="10:15">
      <c r="J14" s="31" t="s">
        <v>15</v>
      </c>
      <c r="K14" s="32">
        <v>25000000</v>
      </c>
      <c r="L14" s="37">
        <v>45000000</v>
      </c>
      <c r="M14" s="34"/>
      <c r="N14" s="38">
        <v>25000000</v>
      </c>
      <c r="O14" s="36"/>
    </row>
    <row r="15" s="1" customFormat="1" ht="15.75" spans="10:15">
      <c r="J15" s="39"/>
      <c r="K15" s="26"/>
      <c r="L15" s="40"/>
      <c r="M15" s="28"/>
      <c r="N15" s="29"/>
      <c r="O15" s="41"/>
    </row>
    <row r="16" s="1" customFormat="1" spans="10:15">
      <c r="J16" s="42" t="s">
        <v>16</v>
      </c>
      <c r="K16" s="43">
        <v>10000000</v>
      </c>
      <c r="L16" s="44">
        <v>18000000</v>
      </c>
      <c r="M16" s="45"/>
      <c r="N16" s="46"/>
      <c r="O16" s="47">
        <v>2000000</v>
      </c>
    </row>
    <row r="17" s="1" customFormat="1" spans="10:15">
      <c r="J17" s="48"/>
      <c r="K17" s="49"/>
      <c r="L17" s="50">
        <v>5000000</v>
      </c>
      <c r="M17" s="51"/>
      <c r="N17" s="52"/>
      <c r="O17" s="53"/>
    </row>
    <row r="18" s="1" customFormat="1" spans="10:15">
      <c r="J18" s="48"/>
      <c r="K18" s="49"/>
      <c r="L18" s="50"/>
      <c r="M18" s="51"/>
      <c r="N18" s="52"/>
      <c r="O18" s="53"/>
    </row>
    <row r="19" s="1" customFormat="1" spans="10:15">
      <c r="J19" s="48"/>
      <c r="K19" s="49"/>
      <c r="L19" s="54"/>
      <c r="M19" s="51"/>
      <c r="N19" s="52"/>
      <c r="O19" s="53"/>
    </row>
    <row r="20" s="1" customFormat="1" ht="15.75" spans="10:15">
      <c r="J20" s="55"/>
      <c r="K20" s="56"/>
      <c r="L20" s="21"/>
      <c r="M20" s="57"/>
      <c r="N20" s="23"/>
      <c r="O20" s="58"/>
    </row>
    <row r="21" s="1" customFormat="1" ht="15.75" spans="9:16">
      <c r="I21" s="59"/>
      <c r="J21" s="60"/>
      <c r="K21" s="61"/>
      <c r="L21" s="27"/>
      <c r="M21" s="62"/>
      <c r="N21" s="29"/>
      <c r="O21" s="30"/>
      <c r="P21" s="59"/>
    </row>
    <row r="22" s="1" customFormat="1" spans="10:15">
      <c r="J22" s="63" t="s">
        <v>17</v>
      </c>
      <c r="K22" s="64"/>
      <c r="L22" s="65"/>
      <c r="M22" s="66">
        <v>5600000</v>
      </c>
      <c r="N22" s="46"/>
      <c r="O22" s="67"/>
    </row>
    <row r="23" s="1" customFormat="1" spans="10:15">
      <c r="J23" s="68" t="s">
        <v>18</v>
      </c>
      <c r="K23" s="49"/>
      <c r="L23" s="54"/>
      <c r="M23" s="51">
        <v>7500000</v>
      </c>
      <c r="N23" s="52"/>
      <c r="O23" s="53"/>
    </row>
    <row r="24" s="1" customFormat="1" spans="10:15">
      <c r="J24" s="68" t="s">
        <v>19</v>
      </c>
      <c r="K24" s="49"/>
      <c r="L24" s="50">
        <v>14760000</v>
      </c>
      <c r="M24" s="69"/>
      <c r="N24" s="52"/>
      <c r="O24" s="53"/>
    </row>
    <row r="25" s="1" customFormat="1" spans="10:15">
      <c r="J25" s="68" t="s">
        <v>20</v>
      </c>
      <c r="K25" s="49"/>
      <c r="L25" s="50">
        <v>6225000</v>
      </c>
      <c r="M25" s="69"/>
      <c r="N25" s="52"/>
      <c r="O25" s="53"/>
    </row>
    <row r="26" s="1" customFormat="1" spans="10:15">
      <c r="J26" s="70" t="s">
        <v>21</v>
      </c>
      <c r="K26" s="71">
        <v>150000000</v>
      </c>
      <c r="L26" s="50">
        <v>50000000</v>
      </c>
      <c r="M26" s="51">
        <v>100000000</v>
      </c>
      <c r="N26" s="72">
        <v>100000000</v>
      </c>
      <c r="O26" s="73">
        <v>100000000</v>
      </c>
    </row>
    <row r="27" s="1" customFormat="1" ht="15.75" spans="10:15">
      <c r="J27" s="74"/>
      <c r="K27" s="56"/>
      <c r="L27" s="21"/>
      <c r="M27" s="22"/>
      <c r="N27" s="23"/>
      <c r="O27" s="58"/>
    </row>
    <row r="28" s="1" customFormat="1" ht="15.75" spans="10:15">
      <c r="J28" s="75"/>
      <c r="K28" s="76"/>
      <c r="L28" s="77"/>
      <c r="M28" s="78"/>
      <c r="N28" s="79"/>
      <c r="O28" s="80"/>
    </row>
    <row r="29" s="1" customFormat="1" spans="10:16">
      <c r="J29" s="81" t="s">
        <v>22</v>
      </c>
      <c r="K29" s="82">
        <f>SUM(K2:K26)</f>
        <v>433200000</v>
      </c>
      <c r="L29" s="83">
        <f>SUM(L2:L26)</f>
        <v>289985000</v>
      </c>
      <c r="M29" s="84">
        <f>SUM(M2:M26)</f>
        <v>133100000</v>
      </c>
      <c r="N29" s="85">
        <f>SUM(N2:N26)</f>
        <v>165700000</v>
      </c>
      <c r="O29" s="86">
        <f>SUM(O2:O26)</f>
        <v>136000000</v>
      </c>
      <c r="P29" s="87">
        <f>K29+L29+M29+N29+O29</f>
        <v>1157985000</v>
      </c>
    </row>
    <row r="30" s="1" customFormat="1" spans="10:15">
      <c r="J30" s="88" t="s">
        <v>23</v>
      </c>
      <c r="K30" s="89">
        <f>P29/5</f>
        <v>231597000</v>
      </c>
      <c r="L30" s="90">
        <f>P29/5</f>
        <v>231597000</v>
      </c>
      <c r="M30" s="91">
        <f>P29/5</f>
        <v>231597000</v>
      </c>
      <c r="N30" s="92">
        <f>P29/5</f>
        <v>231597000</v>
      </c>
      <c r="O30" s="93">
        <f>P29/5</f>
        <v>231597000</v>
      </c>
    </row>
    <row r="31" s="1" customFormat="1" ht="15.75" spans="10:16">
      <c r="J31" s="88" t="s">
        <v>24</v>
      </c>
      <c r="K31" s="89">
        <f>P31/5</f>
        <v>57000000</v>
      </c>
      <c r="L31" s="90">
        <f>P31/5</f>
        <v>57000000</v>
      </c>
      <c r="M31" s="91">
        <f>P31/5</f>
        <v>57000000</v>
      </c>
      <c r="N31" s="92">
        <f>P31/5</f>
        <v>57000000</v>
      </c>
      <c r="O31" s="93">
        <f>P31/5</f>
        <v>57000000</v>
      </c>
      <c r="P31" s="94">
        <v>285000000</v>
      </c>
    </row>
    <row r="32" s="1" customFormat="1" ht="15.75" spans="10:15">
      <c r="J32" s="95"/>
      <c r="K32" s="96"/>
      <c r="L32" s="97"/>
      <c r="M32" s="98"/>
      <c r="N32" s="99"/>
      <c r="O32" s="100"/>
    </row>
    <row r="33" spans="10:15">
      <c r="J33" s="101" t="s">
        <v>25</v>
      </c>
      <c r="K33" s="102"/>
      <c r="L33" s="103">
        <v>30000000</v>
      </c>
      <c r="M33" s="104"/>
      <c r="N33" s="105">
        <v>20000000</v>
      </c>
      <c r="O33" s="106"/>
    </row>
    <row r="34" ht="15.75" spans="10:15">
      <c r="J34" s="107" t="s">
        <v>26</v>
      </c>
      <c r="K34" s="108"/>
      <c r="L34" s="109">
        <v>20000000</v>
      </c>
      <c r="M34" s="110"/>
      <c r="N34" s="111"/>
      <c r="O34" s="112"/>
    </row>
    <row r="35" ht="15.75" spans="10:15">
      <c r="J35" s="113"/>
      <c r="K35" s="114"/>
      <c r="L35" s="115"/>
      <c r="M35" s="116"/>
      <c r="N35" s="117"/>
      <c r="O35" s="118"/>
    </row>
    <row r="36" spans="10:16">
      <c r="J36" s="119" t="s">
        <v>27</v>
      </c>
      <c r="K36" s="120">
        <f>K30-K31-K29+K33+K34</f>
        <v>-258603000</v>
      </c>
      <c r="L36" s="120">
        <f>L30-L31-L29+L33+L34</f>
        <v>-65388000</v>
      </c>
      <c r="M36" s="120">
        <f>M30-M31-M29+M33+M34</f>
        <v>41497000</v>
      </c>
      <c r="N36" s="120">
        <f>N30-N31-N29+N33+N34</f>
        <v>28897000</v>
      </c>
      <c r="O36" s="120">
        <f>O30-O31-O29+O33+O34</f>
        <v>38597000</v>
      </c>
      <c r="P36" s="1"/>
    </row>
  </sheetData>
  <mergeCells count="1">
    <mergeCell ref="J16:J2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ngp17</cp:lastModifiedBy>
  <dcterms:created xsi:type="dcterms:W3CDTF">2025-08-02T03:11:50Z</dcterms:created>
  <dcterms:modified xsi:type="dcterms:W3CDTF">2025-08-02T04:14:39Z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45C686309C1D4D9E8E57666308EB3053_12</vt:lpwstr>
  </property>
  <property fmtid="{D5CDD505-2E9C-101B-9397-08002B2CF9AE}" pid="3" name="KSOProductBuildVer">
    <vt:lpwstr>1033-12.2.0.21931</vt:lpwstr>
  </property>
</Properties>
</file>